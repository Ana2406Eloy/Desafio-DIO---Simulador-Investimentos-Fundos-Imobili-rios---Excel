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630" windowWidth="20730" windowHeight="11760" tabRatio="345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Planilha2" sheetId="2" state="visible" r:id="rId2"/>
    <sheet xmlns:r="http://schemas.openxmlformats.org/officeDocument/2006/relationships" name="DOCUMENTAÇÃO" sheetId="3" state="visible" r:id="rId3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&quot;R$&quot;\ #,##0.00;[Red]\-&quot;R$&quot;\ #,##0.00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Segoe UI Semibold"/>
      <family val="2"/>
      <b val="1"/>
      <color theme="0"/>
      <sz val="18"/>
    </font>
    <font>
      <name val="Segoe UI Semibold"/>
      <family val="2"/>
      <color theme="1"/>
      <sz val="11"/>
    </font>
    <font>
      <name val="Segoe UI Semibold"/>
      <family val="2"/>
      <b val="1"/>
      <color theme="0"/>
      <sz val="20"/>
    </font>
    <font>
      <name val="Segoe UI Semibold"/>
      <family val="2"/>
      <b val="1"/>
      <color theme="0"/>
      <sz val="12"/>
    </font>
    <font>
      <name val="Segoe UI"/>
      <family val="2"/>
      <color theme="1"/>
      <sz val="12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  <font>
      <name val="Segoe UI"/>
      <family val="2"/>
      <b val="1"/>
      <color theme="1"/>
      <sz val="12"/>
    </font>
  </fonts>
  <fills count="1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"/>
      </right>
      <top/>
      <bottom style="hair">
        <color theme="0" tint="-0.1499679555650502"/>
      </bottom>
      <diagonal/>
    </border>
    <border>
      <left style="hair">
        <color theme="0" tint="-0.1499679555650502"/>
      </left>
      <right style="hair">
        <color theme="0" tint="-0.1499679555650502"/>
      </right>
      <top/>
      <bottom style="hair">
        <color theme="0" tint="-0.1499679555650502"/>
      </bottom>
      <diagonal/>
    </border>
    <border>
      <left style="hair">
        <color theme="0" tint="-0.1499679555650502"/>
      </left>
      <right style="medium">
        <color indexed="64"/>
      </right>
      <top/>
      <bottom style="hair">
        <color theme="0" tint="-0.1499679555650502"/>
      </bottom>
      <diagonal/>
    </border>
    <border>
      <left style="medium">
        <color indexed="64"/>
      </left>
      <right style="hair">
        <color theme="0" tint="-0.1499679555650502"/>
      </right>
      <top style="hair">
        <color theme="0" tint="-0.1499679555650502"/>
      </top>
      <bottom style="hair">
        <color theme="0" tint="-0.1499679555650502"/>
      </bottom>
      <diagonal/>
    </border>
    <border>
      <left style="hair">
        <color theme="0" tint="-0.1499679555650502"/>
      </left>
      <right style="hair">
        <color theme="0" tint="-0.1499679555650502"/>
      </right>
      <top style="hair">
        <color theme="0" tint="-0.1499679555650502"/>
      </top>
      <bottom style="hair">
        <color theme="0" tint="-0.1499679555650502"/>
      </bottom>
      <diagonal/>
    </border>
    <border>
      <left style="hair">
        <color theme="0" tint="-0.1499679555650502"/>
      </left>
      <right style="medium">
        <color indexed="64"/>
      </right>
      <top style="hair">
        <color theme="0" tint="-0.1499679555650502"/>
      </top>
      <bottom style="hair">
        <color theme="0" tint="-0.1499679555650502"/>
      </bottom>
      <diagonal/>
    </border>
    <border>
      <left style="medium">
        <color indexed="64"/>
      </left>
      <right style="hair">
        <color theme="0" tint="-0.1499679555650502"/>
      </right>
      <top style="hair">
        <color theme="0" tint="-0.1499679555650502"/>
      </top>
      <bottom style="medium">
        <color indexed="64"/>
      </bottom>
      <diagonal/>
    </border>
    <border>
      <left style="hair">
        <color theme="0" tint="-0.1499679555650502"/>
      </left>
      <right style="hair">
        <color theme="0" tint="-0.1499679555650502"/>
      </right>
      <top style="hair">
        <color theme="0" tint="-0.1499679555650502"/>
      </top>
      <bottom style="medium">
        <color indexed="64"/>
      </bottom>
      <diagonal/>
    </border>
    <border>
      <left style="hair">
        <color theme="0" tint="-0.1499679555650502"/>
      </left>
      <right style="medium">
        <color indexed="64"/>
      </right>
      <top style="hair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9" fontId="1" fillId="0" borderId="0"/>
    <xf numFmtId="0" fontId="2" fillId="2" borderId="0"/>
  </cellStyleXfs>
  <cellXfs count="76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9" fontId="0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right" vertical="center"/>
    </xf>
    <xf numFmtId="0" fontId="6" fillId="5" borderId="3" applyAlignment="1" pivotButton="0" quotePrefix="0" xfId="0">
      <alignment horizontal="right"/>
    </xf>
    <xf numFmtId="0" fontId="5" fillId="5" borderId="2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left" indent="3"/>
    </xf>
    <xf numFmtId="164" fontId="10" fillId="4" borderId="6" applyAlignment="1" pivotButton="0" quotePrefix="0" xfId="0">
      <alignment horizontal="center"/>
    </xf>
    <xf numFmtId="164" fontId="10" fillId="4" borderId="7" applyAlignment="1" pivotButton="0" quotePrefix="0" xfId="0">
      <alignment horizontal="center"/>
    </xf>
    <xf numFmtId="0" fontId="9" fillId="4" borderId="8" applyAlignment="1" pivotButton="0" quotePrefix="0" xfId="0">
      <alignment horizontal="left" indent="3"/>
    </xf>
    <xf numFmtId="164" fontId="10" fillId="4" borderId="9" applyAlignment="1" pivotButton="0" quotePrefix="0" xfId="0">
      <alignment horizontal="center"/>
    </xf>
    <xf numFmtId="164" fontId="10" fillId="4" borderId="10" applyAlignment="1" pivotButton="0" quotePrefix="0" xfId="0">
      <alignment horizontal="center"/>
    </xf>
    <xf numFmtId="0" fontId="9" fillId="4" borderId="11" applyAlignment="1" pivotButton="0" quotePrefix="0" xfId="0">
      <alignment horizontal="left" indent="3"/>
    </xf>
    <xf numFmtId="164" fontId="10" fillId="4" borderId="12" applyAlignment="1" pivotButton="0" quotePrefix="0" xfId="0">
      <alignment horizontal="center"/>
    </xf>
    <xf numFmtId="164" fontId="10" fillId="4" borderId="13" applyAlignment="1" pivotButton="0" quotePrefix="0" xfId="0">
      <alignment horizontal="center"/>
    </xf>
    <xf numFmtId="0" fontId="9" fillId="6" borderId="14" applyAlignment="1" pivotButton="0" quotePrefix="0" xfId="0">
      <alignment horizontal="left" indent="3"/>
    </xf>
    <xf numFmtId="0" fontId="9" fillId="6" borderId="15" applyAlignment="1" pivotButton="0" quotePrefix="0" xfId="0">
      <alignment horizontal="left" indent="3"/>
    </xf>
    <xf numFmtId="164" fontId="11" fillId="0" borderId="16" applyAlignment="1" pivotButton="0" quotePrefix="0" xfId="0">
      <alignment horizontal="center"/>
    </xf>
    <xf numFmtId="0" fontId="9" fillId="6" borderId="17" applyAlignment="1" pivotButton="0" quotePrefix="0" xfId="0">
      <alignment horizontal="left" indent="3"/>
    </xf>
    <xf numFmtId="0" fontId="9" fillId="6" borderId="18" applyAlignment="1" pivotButton="0" quotePrefix="0" xfId="0">
      <alignment horizontal="left" indent="3"/>
    </xf>
    <xf numFmtId="0" fontId="11" fillId="0" borderId="19" applyAlignment="1" pivotButton="0" quotePrefix="0" xfId="0">
      <alignment horizontal="center"/>
    </xf>
    <xf numFmtId="10" fontId="11" fillId="0" borderId="19" applyAlignment="1" pivotButton="0" quotePrefix="0" xfId="0">
      <alignment horizontal="center"/>
    </xf>
    <xf numFmtId="0" fontId="12" fillId="4" borderId="17" applyAlignment="1" pivotButton="0" quotePrefix="0" xfId="0">
      <alignment horizontal="left" indent="3"/>
    </xf>
    <xf numFmtId="0" fontId="12" fillId="4" borderId="18" applyAlignment="1" pivotButton="0" quotePrefix="0" xfId="0">
      <alignment horizontal="left" indent="3"/>
    </xf>
    <xf numFmtId="165" fontId="11" fillId="4" borderId="19" applyAlignment="1" pivotButton="0" quotePrefix="0" xfId="0">
      <alignment horizontal="center"/>
    </xf>
    <xf numFmtId="0" fontId="12" fillId="4" borderId="20" applyAlignment="1" pivotButton="0" quotePrefix="0" xfId="0">
      <alignment horizontal="left" indent="3"/>
    </xf>
    <xf numFmtId="0" fontId="12" fillId="4" borderId="21" applyAlignment="1" pivotButton="0" quotePrefix="0" xfId="0">
      <alignment horizontal="left" indent="3"/>
    </xf>
    <xf numFmtId="165" fontId="11" fillId="4" borderId="22" applyAlignment="1" pivotButton="0" quotePrefix="0" xfId="0">
      <alignment horizontal="center"/>
    </xf>
    <xf numFmtId="164" fontId="10" fillId="0" borderId="16" applyAlignment="1" pivotButton="0" quotePrefix="0" xfId="1">
      <alignment horizontal="center"/>
    </xf>
    <xf numFmtId="10" fontId="10" fillId="0" borderId="19" applyAlignment="1" pivotButton="0" quotePrefix="0" xfId="0">
      <alignment horizontal="center"/>
    </xf>
    <xf numFmtId="0" fontId="9" fillId="6" borderId="20" applyAlignment="1" pivotButton="0" quotePrefix="0" xfId="0">
      <alignment horizontal="left" indent="3"/>
    </xf>
    <xf numFmtId="0" fontId="9" fillId="6" borderId="21" applyAlignment="1" pivotButton="0" quotePrefix="0" xfId="0">
      <alignment horizontal="left" indent="3"/>
    </xf>
    <xf numFmtId="164" fontId="10" fillId="6" borderId="22" applyAlignment="1" pivotButton="0" quotePrefix="0" xfId="0">
      <alignment horizontal="center"/>
    </xf>
    <xf numFmtId="0" fontId="2" fillId="2" borderId="0" pivotButton="0" quotePrefix="0" xfId="3"/>
    <xf numFmtId="0" fontId="2" fillId="2" borderId="0" applyAlignment="1" pivotButton="0" quotePrefix="0" xfId="3">
      <alignment horizontal="center"/>
    </xf>
    <xf numFmtId="0" fontId="3" fillId="6" borderId="0" pivotButton="0" quotePrefix="0" xfId="0"/>
    <xf numFmtId="164" fontId="3" fillId="6" borderId="0" applyAlignment="1" pivotButton="0" quotePrefix="0" xfId="1">
      <alignment horizontal="center"/>
    </xf>
    <xf numFmtId="0" fontId="3" fillId="7" borderId="0" applyAlignment="1" pivotButton="0" quotePrefix="0" xfId="0">
      <alignment horizontal="center"/>
    </xf>
    <xf numFmtId="0" fontId="3" fillId="7" borderId="0" pivotButton="0" quotePrefix="0" xfId="0"/>
    <xf numFmtId="164" fontId="3" fillId="7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9" fontId="0" fillId="0" borderId="4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9" fontId="0" fillId="8" borderId="0" applyAlignment="1" pivotButton="0" quotePrefix="0" xfId="0">
      <alignment horizontal="center"/>
    </xf>
    <xf numFmtId="9" fontId="2" fillId="2" borderId="0" pivotButton="0" quotePrefix="0" xfId="2"/>
    <xf numFmtId="0" fontId="4" fillId="9" borderId="0" pivotButton="0" quotePrefix="0" xfId="0"/>
    <xf numFmtId="0" fontId="4" fillId="9" borderId="0" applyAlignment="1" pivotButton="0" quotePrefix="0" xfId="0">
      <alignment horizontal="center"/>
    </xf>
    <xf numFmtId="0" fontId="0" fillId="0" borderId="24" pivotButton="0" quotePrefix="0" xfId="0"/>
    <xf numFmtId="164" fontId="10" fillId="0" borderId="16" applyAlignment="1" pivotButton="0" quotePrefix="0" xfId="1">
      <alignment horizontal="center"/>
    </xf>
    <xf numFmtId="0" fontId="0" fillId="0" borderId="27" pivotButton="0" quotePrefix="0" xfId="0"/>
    <xf numFmtId="0" fontId="0" fillId="0" borderId="28" pivotButton="0" quotePrefix="0" xfId="0"/>
    <xf numFmtId="164" fontId="10" fillId="6" borderId="22" applyAlignment="1" pivotButton="0" quotePrefix="0" xfId="0">
      <alignment horizontal="center"/>
    </xf>
    <xf numFmtId="0" fontId="7" fillId="3" borderId="2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164" fontId="11" fillId="0" borderId="16" applyAlignment="1" pivotButton="0" quotePrefix="0" xfId="0">
      <alignment horizontal="center"/>
    </xf>
    <xf numFmtId="165" fontId="11" fillId="4" borderId="19" applyAlignment="1" pivotButton="0" quotePrefix="0" xfId="0">
      <alignment horizontal="center"/>
    </xf>
    <xf numFmtId="165" fontId="11" fillId="4" borderId="22" applyAlignment="1" pivotButton="0" quotePrefix="0" xfId="0">
      <alignment horizontal="center"/>
    </xf>
    <xf numFmtId="164" fontId="10" fillId="4" borderId="6" applyAlignment="1" pivotButton="0" quotePrefix="0" xfId="0">
      <alignment horizontal="center"/>
    </xf>
    <xf numFmtId="164" fontId="10" fillId="4" borderId="7" applyAlignment="1" pivotButton="0" quotePrefix="0" xfId="0">
      <alignment horizontal="center"/>
    </xf>
    <xf numFmtId="164" fontId="10" fillId="4" borderId="9" applyAlignment="1" pivotButton="0" quotePrefix="0" xfId="0">
      <alignment horizontal="center"/>
    </xf>
    <xf numFmtId="164" fontId="10" fillId="4" borderId="10" applyAlignment="1" pivotButton="0" quotePrefix="0" xfId="0">
      <alignment horizontal="center"/>
    </xf>
    <xf numFmtId="164" fontId="10" fillId="4" borderId="12" applyAlignment="1" pivotButton="0" quotePrefix="0" xfId="0">
      <alignment horizontal="center"/>
    </xf>
    <xf numFmtId="164" fontId="10" fillId="4" borderId="13" applyAlignment="1" pivotButton="0" quotePrefix="0" xfId="0">
      <alignment horizontal="center"/>
    </xf>
    <xf numFmtId="164" fontId="3" fillId="6" borderId="0" applyAlignment="1" pivotButton="0" quotePrefix="0" xfId="1">
      <alignment horizontal="center"/>
    </xf>
    <xf numFmtId="164" fontId="0" fillId="6" borderId="0" applyAlignment="1" pivotButton="0" quotePrefix="0" xfId="0">
      <alignment horizontal="center"/>
    </xf>
    <xf numFmtId="164" fontId="3" fillId="7" borderId="0" applyAlignment="1" pivotButton="0" quotePrefix="0" xfId="0">
      <alignment horizontal="center"/>
    </xf>
  </cellXfs>
  <cellStyles count="4">
    <cellStyle name="Normal" xfId="0" builtinId="0"/>
    <cellStyle name="Moeda" xfId="1" builtinId="4"/>
    <cellStyle name="Porcentagem" xfId="2" builtinId="5"/>
    <cellStyle name="Neutro" xfId="3" builtinId="2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strRef>
              <f>APP!$C$35</f>
              <strCache>
                <ptCount val="1"/>
                <pt idx="0">
                  <v>Percentual Sugerido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1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1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2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2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3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3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4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4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5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5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67000"/>
                      <a:satMod val="105000"/>
                      <a:lumMod val="110000"/>
                    </a:schemeClr>
                  </a:gs>
                  <a:gs pos="50000">
                    <a:schemeClr val="accent6">
                      <a:tint val="73000"/>
                      <a:satMod val="103000"/>
                      <a:lumMod val="105000"/>
                    </a:schemeClr>
                  </a:gs>
                  <a:gs pos="100000">
                    <a:schemeClr val="accent6">
                      <a:tint val="81000"/>
                      <a:satMod val="109000"/>
                      <a:lumMod val="105000"/>
                    </a:schemeClr>
                  </a:gs>
                </a:gsLst>
                <a:lin ang="5400000" scaled="0"/>
              </a:gradFill>
              <a:ln xmlns:a="http://schemas.openxmlformats.org/drawingml/2006/main"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APP!$B$36:$B$41</f>
              <strCache>
                <ptCount val="6"/>
                <pt idx="0">
                  <v>PAPEL</v>
                </pt>
                <pt idx="1">
                  <v>TIJOLO</v>
                </pt>
                <pt idx="2">
                  <v>HÍBRIDOS</v>
                </pt>
                <pt idx="3">
                  <v>FOFs</v>
                </pt>
                <pt idx="4">
                  <v>DESENVOLVIMENTO</v>
                </pt>
                <pt idx="5">
                  <v>HOTELARIAS</v>
                </pt>
              </strCache>
            </strRef>
          </cat>
          <val>
            <numRef>
              <f>APP!$C$36:$C$41</f>
              <numCache>
                <formatCode>0%</formatCode>
                <ptCount val="6"/>
                <pt idx="0">
                  <v>0.32</v>
                </pt>
                <pt idx="1">
                  <v>0.35</v>
                </pt>
                <pt idx="2">
                  <v>0.08</v>
                </pt>
                <pt idx="3">
                  <v>0.05</v>
                </pt>
                <pt idx="4">
                  <v>0.1</v>
                </pt>
                <pt idx="5">
                  <v>0.1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0</col>
      <colOff>317046</colOff>
      <row>42</row>
      <rowOff>97971</rowOff>
    </from>
    <to>
      <col>3</col>
      <colOff>892175</colOff>
      <row>55</row>
      <rowOff>35832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absolute">
    <from>
      <col>0</col>
      <colOff>199066</colOff>
      <row>0</row>
      <rowOff>183696</rowOff>
    </from>
    <to>
      <col>5</col>
      <colOff>39273</colOff>
      <row>9</row>
      <rowOff>25401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b="9606"/>
        <a:stretch xmlns:a="http://schemas.openxmlformats.org/drawingml/2006/main">
          <a:fillRect/>
        </a:stretch>
      </blipFill>
      <spPr>
        <a:xfrm xmlns:a="http://schemas.openxmlformats.org/drawingml/2006/main">
          <a:off x="199066" y="182563"/>
          <a:ext cx="6008059" cy="1485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tabSelected="1" zoomScale="110" zoomScaleNormal="110" workbookViewId="0">
      <selection activeCell="H16" sqref="H16"/>
    </sheetView>
  </sheetViews>
  <sheetFormatPr baseColWidth="8" defaultColWidth="0" defaultRowHeight="14.5"/>
  <cols>
    <col width="5.453125" customWidth="1" min="1" max="1"/>
    <col width="46.81640625" customWidth="1" min="2" max="2"/>
    <col width="17.453125" bestFit="1" customWidth="1" min="3" max="3"/>
    <col width="15" customWidth="1" min="4" max="4"/>
    <col width="3.54296875" customWidth="1" min="5" max="8"/>
    <col hidden="1" width="8.7265625" customWidth="1" min="9" max="16384"/>
  </cols>
  <sheetData>
    <row r="1"/>
    <row r="2"/>
    <row r="3"/>
    <row r="4"/>
    <row r="5"/>
    <row r="6"/>
    <row r="7"/>
    <row r="8"/>
    <row r="9"/>
    <row r="10" ht="15" customHeight="1" thickBot="1"/>
    <row r="11" ht="26" customHeight="1">
      <c r="B11" s="5" t="inlineStr">
        <is>
          <t>CONFIGURAÇÕES</t>
        </is>
      </c>
      <c r="C11" s="6" t="n"/>
      <c r="D11" s="7" t="n"/>
    </row>
    <row r="12" ht="17.5" customHeight="1">
      <c r="B12" s="21" t="inlineStr">
        <is>
          <t>Salário</t>
        </is>
      </c>
      <c r="C12" s="56" t="n"/>
      <c r="D12" s="57" t="n">
        <v>2000</v>
      </c>
    </row>
    <row r="13" ht="17.5" customHeight="1">
      <c r="B13" s="24" t="inlineStr">
        <is>
          <t>Rendimento Carteira</t>
        </is>
      </c>
      <c r="C13" s="58" t="n"/>
      <c r="D13" s="35" t="n">
        <v>0.006</v>
      </c>
    </row>
    <row r="14" ht="18" customHeight="1" thickBot="1">
      <c r="B14" s="36" t="inlineStr">
        <is>
          <t>Sugestão de Investimento (30%)</t>
        </is>
      </c>
      <c r="C14" s="59" t="n"/>
      <c r="D14" s="60">
        <f>D12*30%</f>
        <v/>
      </c>
    </row>
    <row r="15" ht="15" customHeight="1" thickBot="1"/>
    <row r="16" ht="28.5" customHeight="1">
      <c r="B16" s="61" t="inlineStr">
        <is>
          <t>INVESTIMENTO MENSAL</t>
        </is>
      </c>
      <c r="C16" s="62" t="n"/>
      <c r="D16" s="63" t="n"/>
    </row>
    <row r="17" ht="17.5" customHeight="1">
      <c r="B17" s="21" t="inlineStr">
        <is>
          <t>Quanto investir por mês ?</t>
        </is>
      </c>
      <c r="C17" s="56" t="n"/>
      <c r="D17" s="64" t="n">
        <v>200</v>
      </c>
    </row>
    <row r="18" ht="17.5" customHeight="1">
      <c r="B18" s="24" t="inlineStr">
        <is>
          <t>Por Quantos Anos ?</t>
        </is>
      </c>
      <c r="C18" s="58" t="n"/>
      <c r="D18" s="26" t="n">
        <v>5</v>
      </c>
    </row>
    <row r="19" ht="17.5" customHeight="1">
      <c r="B19" s="24" t="inlineStr">
        <is>
          <t>Taxa de Rendimento mensal ?</t>
        </is>
      </c>
      <c r="C19" s="58" t="n"/>
      <c r="D19" s="27" t="n">
        <v>0.01079</v>
      </c>
    </row>
    <row r="20" ht="17.5" customHeight="1">
      <c r="B20" s="28" t="inlineStr">
        <is>
          <t>Patrimônio acumulado ?</t>
        </is>
      </c>
      <c r="C20" s="58" t="n"/>
      <c r="D20" s="65">
        <f>FV(taxa_mensal,qtd_anos*12,aporte*-1)</f>
        <v/>
      </c>
    </row>
    <row r="21" ht="18" customHeight="1" thickBot="1">
      <c r="B21" s="31" t="inlineStr">
        <is>
          <t>Dividendos Mensais ?</t>
        </is>
      </c>
      <c r="C21" s="59" t="n"/>
      <c r="D21" s="66">
        <f>patrimonio*rendimento_carteira</f>
        <v/>
      </c>
      <c r="F21" s="3" t="n"/>
    </row>
    <row r="22" ht="15" customHeight="1" thickBot="1"/>
    <row r="23" ht="29" customHeight="1">
      <c r="B23" s="8" t="inlineStr">
        <is>
          <t xml:space="preserve"> Cenários</t>
        </is>
      </c>
      <c r="C23" s="62" t="n"/>
      <c r="D23" s="11" t="inlineStr">
        <is>
          <t>Dividendo</t>
        </is>
      </c>
    </row>
    <row r="24" ht="17.5" customHeight="1">
      <c r="A24" s="1" t="n">
        <v>2</v>
      </c>
      <c r="B24" s="12" t="inlineStr">
        <is>
          <t>Quanto em 2 Anos ?</t>
        </is>
      </c>
      <c r="C24" s="67">
        <f>FV($D$19,$A24*12,$D$17*-1)</f>
        <v/>
      </c>
      <c r="D24" s="68">
        <f>C24*rendimento_carteira</f>
        <v/>
      </c>
    </row>
    <row r="25" ht="17.5" customHeight="1">
      <c r="A25" s="1" t="n">
        <v>5</v>
      </c>
      <c r="B25" s="15" t="inlineStr">
        <is>
          <t>Quanto em 5 Anos ?</t>
        </is>
      </c>
      <c r="C25" s="69">
        <f>FV($D$19,$A25*12,$D$17*-1)</f>
        <v/>
      </c>
      <c r="D25" s="70">
        <f>C25*rendimento_carteira</f>
        <v/>
      </c>
    </row>
    <row r="26" ht="17.5" customHeight="1">
      <c r="A26" s="1" t="n">
        <v>10</v>
      </c>
      <c r="B26" s="15" t="inlineStr">
        <is>
          <t>Quanto em 10 Anos ?</t>
        </is>
      </c>
      <c r="C26" s="69">
        <f>FV($D$19,$A26*12,$D$17*-1)</f>
        <v/>
      </c>
      <c r="D26" s="70">
        <f>C26*rendimento_carteira</f>
        <v/>
      </c>
    </row>
    <row r="27" ht="17.5" customHeight="1">
      <c r="A27" s="1" t="n">
        <v>20</v>
      </c>
      <c r="B27" s="15" t="inlineStr">
        <is>
          <t>Quanto em 20 Anos ?</t>
        </is>
      </c>
      <c r="C27" s="69">
        <f>FV($D$19,$A27*12,$D$17*-1)</f>
        <v/>
      </c>
      <c r="D27" s="70">
        <f>C27*rendimento_carteira</f>
        <v/>
      </c>
    </row>
    <row r="28" ht="18" customHeight="1" thickBot="1">
      <c r="A28" s="1" t="n">
        <v>30</v>
      </c>
      <c r="B28" s="18" t="inlineStr">
        <is>
          <t>Quanto em 30 Anos ?</t>
        </is>
      </c>
      <c r="C28" s="71">
        <f>FV($D$19,$A28*12,$D$17*-1)</f>
        <v/>
      </c>
      <c r="D28" s="72">
        <f>C28*rendimento_carteira</f>
        <v/>
      </c>
    </row>
    <row r="29"/>
    <row r="30"/>
    <row r="31"/>
    <row r="32">
      <c r="B32" s="39" t="inlineStr">
        <is>
          <t>PERFIL</t>
        </is>
      </c>
      <c r="C32" s="40" t="inlineStr">
        <is>
          <t>Moderado</t>
        </is>
      </c>
      <c r="D32" s="39" t="n"/>
    </row>
    <row r="33">
      <c r="B33" s="41" t="inlineStr">
        <is>
          <t>VALOR A SER INVESTIDO POR MÊS</t>
        </is>
      </c>
      <c r="C33" s="73">
        <f>aporte</f>
        <v/>
      </c>
      <c r="D33" s="41" t="n"/>
    </row>
    <row r="34"/>
    <row r="35">
      <c r="B35" s="43" t="inlineStr">
        <is>
          <t>TIPO DE FII</t>
        </is>
      </c>
      <c r="C35" s="43" t="inlineStr">
        <is>
          <t>Percentual Sugerido</t>
        </is>
      </c>
      <c r="D35" s="43" t="inlineStr">
        <is>
          <t>Valores</t>
        </is>
      </c>
    </row>
    <row r="36">
      <c r="B36" s="2" t="inlineStr">
        <is>
          <t>PAPEL</t>
        </is>
      </c>
      <c r="C36" s="4">
        <f>VLOOKUP($C$32&amp;"-"&amp;B36,Planilha2!$A:$D,4,FALSE)</f>
        <v/>
      </c>
      <c r="D36" s="74">
        <f>C36*$C$33</f>
        <v/>
      </c>
    </row>
    <row r="37">
      <c r="B37" s="2" t="inlineStr">
        <is>
          <t>TIJOLO</t>
        </is>
      </c>
      <c r="C37" s="4">
        <f>VLOOKUP($C$32&amp;"-"&amp;B37,Planilha2!$A:$D,4,FALSE)</f>
        <v/>
      </c>
      <c r="D37" s="74">
        <f>C37*$C$33</f>
        <v/>
      </c>
    </row>
    <row r="38">
      <c r="B38" s="2" t="inlineStr">
        <is>
          <t>HÍBRIDOS</t>
        </is>
      </c>
      <c r="C38" s="4">
        <f>VLOOKUP($C$32&amp;"-"&amp;B38,Planilha2!$A:$D,4,FALSE)</f>
        <v/>
      </c>
      <c r="D38" s="74">
        <f>C38*$C$33</f>
        <v/>
      </c>
    </row>
    <row r="39">
      <c r="B39" s="2" t="inlineStr">
        <is>
          <t>FOFs</t>
        </is>
      </c>
      <c r="C39" s="4">
        <f>VLOOKUP($C$32&amp;"-"&amp;B39,Planilha2!$A:$D,4,FALSE)</f>
        <v/>
      </c>
      <c r="D39" s="74">
        <f>C39*$C$33</f>
        <v/>
      </c>
    </row>
    <row r="40">
      <c r="B40" s="2" t="inlineStr">
        <is>
          <t>DESENVOLVIMENTO</t>
        </is>
      </c>
      <c r="C40" s="4">
        <f>VLOOKUP($C$32&amp;"-"&amp;B40,Planilha2!$A:$D,4,FALSE)</f>
        <v/>
      </c>
      <c r="D40" s="74">
        <f>C40*$C$33</f>
        <v/>
      </c>
    </row>
    <row r="41">
      <c r="B41" s="2" t="inlineStr">
        <is>
          <t>HOTELARIAS</t>
        </is>
      </c>
      <c r="C41" s="4">
        <f>VLOOKUP($C$32&amp;"-"&amp;B41,Planilha2!$A:$D,4,FALSE)</f>
        <v/>
      </c>
      <c r="D41" s="74">
        <f>C41*$C$33</f>
        <v/>
      </c>
    </row>
    <row r="42">
      <c r="B42" s="44" t="n"/>
      <c r="C42" s="44" t="n"/>
      <c r="D42" s="75">
        <f>SUM(D36:D41)</f>
        <v/>
      </c>
    </row>
    <row r="49"/>
    <row r="50"/>
    <row r="51"/>
    <row r="52"/>
    <row r="53"/>
    <row r="54"/>
    <row r="55"/>
    <row r="56"/>
    <row r="57"/>
  </sheetData>
  <mergeCells count="10">
    <mergeCell ref="B13:C13"/>
    <mergeCell ref="B21:C21"/>
    <mergeCell ref="B19:C19"/>
    <mergeCell ref="B20:C20"/>
    <mergeCell ref="B23:C23"/>
    <mergeCell ref="B14:C14"/>
    <mergeCell ref="B17:C17"/>
    <mergeCell ref="B18:C18"/>
    <mergeCell ref="B16:D16"/>
    <mergeCell ref="B12:C12"/>
  </mergeCells>
  <dataValidations count="1">
    <dataValidation sqref="C32" showDropDown="0" showInputMessage="1" showErrorMessage="1" allowBlank="1" type="list">
      <formula1>"Conservador, Moderado, Agressivo"</formula1>
    </dataValidation>
  </dataValidation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0" zoomScale="115" zoomScaleNormal="115" workbookViewId="0">
      <selection activeCell="C7" sqref="C7"/>
    </sheetView>
  </sheetViews>
  <sheetFormatPr baseColWidth="8" defaultRowHeight="14.5"/>
  <cols>
    <col width="29.1796875" bestFit="1" customWidth="1" min="1" max="1"/>
    <col width="11.54296875" bestFit="1" customWidth="1" min="2" max="2"/>
    <col width="17.7265625" bestFit="1" customWidth="1" min="3" max="3"/>
    <col width="15.36328125" bestFit="1" customWidth="1" min="7" max="7"/>
  </cols>
  <sheetData>
    <row r="2">
      <c r="A2" s="54" t="inlineStr">
        <is>
          <t>CHAVE</t>
        </is>
      </c>
      <c r="B2" s="54" t="inlineStr">
        <is>
          <t>PERFIL</t>
        </is>
      </c>
      <c r="C2" s="55" t="inlineStr">
        <is>
          <t>TIPO DE FII</t>
        </is>
      </c>
      <c r="D2" s="55" t="inlineStr">
        <is>
          <t>%</t>
        </is>
      </c>
    </row>
    <row r="3">
      <c r="A3">
        <f>B3&amp;"-"&amp;C3</f>
        <v/>
      </c>
      <c r="B3" t="inlineStr">
        <is>
          <t>Conservador</t>
        </is>
      </c>
      <c r="C3" s="2" t="inlineStr">
        <is>
          <t>PAPEL</t>
        </is>
      </c>
      <c r="D3" s="4" t="n">
        <v>0.3</v>
      </c>
      <c r="H3" t="inlineStr">
        <is>
          <t>%</t>
        </is>
      </c>
    </row>
    <row r="4">
      <c r="A4">
        <f>B4&amp;"-"&amp;C4</f>
        <v/>
      </c>
      <c r="B4" t="inlineStr">
        <is>
          <t>Conservador</t>
        </is>
      </c>
      <c r="C4" s="2" t="inlineStr">
        <is>
          <t>TIJOLO</t>
        </is>
      </c>
      <c r="D4" s="4" t="n">
        <v>0.5</v>
      </c>
      <c r="G4" s="39" t="inlineStr">
        <is>
          <t>Moderado-TIJOLO</t>
        </is>
      </c>
      <c r="H4" s="53">
        <f>VLOOKUP(G4,$A:$D,4,FALSE)</f>
        <v/>
      </c>
    </row>
    <row r="5">
      <c r="A5">
        <f>B5&amp;"-"&amp;C5</f>
        <v/>
      </c>
      <c r="B5" t="inlineStr">
        <is>
          <t>Conservador</t>
        </is>
      </c>
      <c r="C5" s="2" t="inlineStr">
        <is>
          <t>HÍBRIDOS</t>
        </is>
      </c>
      <c r="D5" s="4" t="n">
        <v>0.1</v>
      </c>
    </row>
    <row r="6">
      <c r="A6">
        <f>B6&amp;"-"&amp;C6</f>
        <v/>
      </c>
      <c r="B6" t="inlineStr">
        <is>
          <t>Conservador</t>
        </is>
      </c>
      <c r="C6" s="2" t="inlineStr">
        <is>
          <t>FOFs</t>
        </is>
      </c>
      <c r="D6" s="4" t="n">
        <v>0.1</v>
      </c>
    </row>
    <row r="7">
      <c r="A7">
        <f>B7&amp;"-"&amp;C7</f>
        <v/>
      </c>
      <c r="B7" t="inlineStr">
        <is>
          <t>Conservador</t>
        </is>
      </c>
      <c r="C7" s="2" t="inlineStr">
        <is>
          <t>DESENVOLVIMENTO</t>
        </is>
      </c>
      <c r="D7" s="4" t="n">
        <v>0</v>
      </c>
    </row>
    <row r="8" ht="15" customHeight="1" thickBot="1">
      <c r="A8" s="47">
        <f>B8&amp;"-"&amp;C8</f>
        <v/>
      </c>
      <c r="B8" s="47" t="inlineStr">
        <is>
          <t>Conservador</t>
        </is>
      </c>
      <c r="C8" s="48" t="inlineStr">
        <is>
          <t>HOTELARIAS</t>
        </is>
      </c>
      <c r="D8" s="49" t="n">
        <v>0</v>
      </c>
    </row>
    <row r="9">
      <c r="A9">
        <f>B9&amp;"-"&amp;C9</f>
        <v/>
      </c>
      <c r="B9" t="inlineStr">
        <is>
          <t>Moderado</t>
        </is>
      </c>
      <c r="C9" s="2" t="inlineStr">
        <is>
          <t>PAPEL</t>
        </is>
      </c>
      <c r="D9" s="4" t="n">
        <v>0.32</v>
      </c>
    </row>
    <row r="10">
      <c r="A10" s="50">
        <f>B10&amp;"-"&amp;C10</f>
        <v/>
      </c>
      <c r="B10" s="50" t="inlineStr">
        <is>
          <t>Moderado</t>
        </is>
      </c>
      <c r="C10" s="51" t="inlineStr">
        <is>
          <t>TIJOLO</t>
        </is>
      </c>
      <c r="D10" s="52" t="n">
        <v>0.35</v>
      </c>
    </row>
    <row r="11">
      <c r="A11">
        <f>B11&amp;"-"&amp;C11</f>
        <v/>
      </c>
      <c r="B11" t="inlineStr">
        <is>
          <t>Moderado</t>
        </is>
      </c>
      <c r="C11" s="2" t="inlineStr">
        <is>
          <t>HÍBRIDOS</t>
        </is>
      </c>
      <c r="D11" s="4" t="n">
        <v>0.08</v>
      </c>
    </row>
    <row r="12">
      <c r="A12">
        <f>B12&amp;"-"&amp;C12</f>
        <v/>
      </c>
      <c r="B12" t="inlineStr">
        <is>
          <t>Moderado</t>
        </is>
      </c>
      <c r="C12" s="2" t="inlineStr">
        <is>
          <t>FOFs</t>
        </is>
      </c>
      <c r="D12" s="4" t="n">
        <v>0.05</v>
      </c>
    </row>
    <row r="13">
      <c r="A13">
        <f>B13&amp;"-"&amp;C13</f>
        <v/>
      </c>
      <c r="B13" t="inlineStr">
        <is>
          <t>Moderado</t>
        </is>
      </c>
      <c r="C13" s="2" t="inlineStr">
        <is>
          <t>DESENVOLVIMENTO</t>
        </is>
      </c>
      <c r="D13" s="4" t="n">
        <v>0.1</v>
      </c>
    </row>
    <row r="14" ht="15" customHeight="1" thickBot="1">
      <c r="A14" s="47">
        <f>B14&amp;"-"&amp;C14</f>
        <v/>
      </c>
      <c r="B14" s="47" t="inlineStr">
        <is>
          <t>Moderado</t>
        </is>
      </c>
      <c r="C14" s="48" t="inlineStr">
        <is>
          <t>HOTELARIAS</t>
        </is>
      </c>
      <c r="D14" s="49" t="n">
        <v>0.1</v>
      </c>
    </row>
    <row r="15">
      <c r="A15">
        <f>B15&amp;"-"&amp;C15</f>
        <v/>
      </c>
      <c r="B15" t="inlineStr">
        <is>
          <t>Agressivo</t>
        </is>
      </c>
      <c r="C15" s="2" t="inlineStr">
        <is>
          <t>PAPEL</t>
        </is>
      </c>
      <c r="D15" s="4" t="n">
        <v>0.5</v>
      </c>
    </row>
    <row r="16">
      <c r="A16">
        <f>B16&amp;"-"&amp;C16</f>
        <v/>
      </c>
      <c r="B16" t="inlineStr">
        <is>
          <t>Agressivo</t>
        </is>
      </c>
      <c r="C16" s="2" t="inlineStr">
        <is>
          <t>TIJOLO</t>
        </is>
      </c>
      <c r="D16" s="4" t="n">
        <v>0.1</v>
      </c>
    </row>
    <row r="17">
      <c r="A17">
        <f>B17&amp;"-"&amp;C17</f>
        <v/>
      </c>
      <c r="B17" t="inlineStr">
        <is>
          <t>Agressivo</t>
        </is>
      </c>
      <c r="C17" s="2" t="inlineStr">
        <is>
          <t>HÍBRIDOS</t>
        </is>
      </c>
      <c r="D17" s="4" t="n">
        <v>0.05</v>
      </c>
    </row>
    <row r="18">
      <c r="A18">
        <f>B18&amp;"-"&amp;C18</f>
        <v/>
      </c>
      <c r="B18" t="inlineStr">
        <is>
          <t>Agressivo</t>
        </is>
      </c>
      <c r="C18" s="2" t="inlineStr">
        <is>
          <t>FOFs</t>
        </is>
      </c>
      <c r="D18" s="4" t="n">
        <v>0.05</v>
      </c>
    </row>
    <row r="19">
      <c r="A19">
        <f>B19&amp;"-"&amp;C19</f>
        <v/>
      </c>
      <c r="B19" t="inlineStr">
        <is>
          <t>Agressivo</t>
        </is>
      </c>
      <c r="C19" s="2" t="inlineStr">
        <is>
          <t>DESENVOLVIMENTO</t>
        </is>
      </c>
      <c r="D19" s="4" t="n">
        <v>0.2</v>
      </c>
    </row>
    <row r="20">
      <c r="A20">
        <f>B20&amp;"-"&amp;C20</f>
        <v/>
      </c>
      <c r="B20" t="inlineStr">
        <is>
          <t>Agressivo</t>
        </is>
      </c>
      <c r="C20" s="2" t="inlineStr">
        <is>
          <t>HOTELARIAS</t>
        </is>
      </c>
      <c r="D20" s="4" t="n">
        <v>0.1</v>
      </c>
    </row>
    <row r="21">
      <c r="D21" s="2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Simulador de Investimentos em Fundos Imobiliários (FIIs)</t>
        </is>
      </c>
    </row>
    <row r="3">
      <c r="A3" t="inlineStr">
        <is>
          <t>Descrição:</t>
        </is>
      </c>
    </row>
    <row r="4">
      <c r="A4" t="inlineStr">
        <is>
          <t>Esta planilha permite simular investimentos mensais em FIIs, calculando patrimônio futuro e dividendos.</t>
        </is>
      </c>
    </row>
    <row r="6">
      <c r="A6" t="inlineStr">
        <is>
          <t>Como usar:</t>
        </is>
      </c>
    </row>
    <row r="7">
      <c r="A7" t="inlineStr">
        <is>
          <t>1. Informe seu salário.</t>
        </is>
      </c>
    </row>
    <row r="8">
      <c r="A8" t="inlineStr">
        <is>
          <t>2. Defina quanto deseja investir por mês.</t>
        </is>
      </c>
    </row>
    <row r="9">
      <c r="A9" t="inlineStr">
        <is>
          <t>3. Escolha o período (anos) e taxa de rendimento.</t>
        </is>
      </c>
    </row>
    <row r="10">
      <c r="A10" t="inlineStr">
        <is>
          <t>4. Visualize o patrimônio acumulado e dividendos.</t>
        </is>
      </c>
    </row>
    <row r="12">
      <c r="A12" t="inlineStr">
        <is>
          <t>Fórmulas principais:</t>
        </is>
      </c>
    </row>
    <row r="13">
      <c r="A13" t="inlineStr">
        <is>
          <t>FV -&gt; calcula valor futuro.</t>
        </is>
      </c>
    </row>
    <row r="14">
      <c r="A14" t="inlineStr">
        <is>
          <t>Dividendos -&gt; patrimônio * rendimento mensal.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Silva Aguiar</dc:creator>
  <dcterms:created xmlns:dcterms="http://purl.org/dc/terms/" xmlns:xsi="http://www.w3.org/2001/XMLSchema-instance" xsi:type="dcterms:W3CDTF">2025-04-16T18:38:03Z</dcterms:created>
  <dcterms:modified xmlns:dcterms="http://purl.org/dc/terms/" xmlns:xsi="http://www.w3.org/2001/XMLSchema-instance" xsi:type="dcterms:W3CDTF">2026-02-15T01:50:28Z</dcterms:modified>
  <cp:lastModifiedBy>Felipe Silva Aguiar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